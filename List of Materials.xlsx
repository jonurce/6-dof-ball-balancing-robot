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340"/>
  </bookViews>
  <sheets>
    <sheet name="Bill of Materials" sheetId="2" r:id="rId1"/>
    <sheet name="Pre Bill of Materi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<sst xmlns="http://schemas.openxmlformats.org/spreadsheetml/2006/main" count="96" uniqueCount="89">
  <si>
    <t>6 DOF Platform - List of components</t>
  </si>
  <si>
    <t>Electronics</t>
  </si>
  <si>
    <t>Units</t>
  </si>
  <si>
    <t>Materials</t>
  </si>
  <si>
    <t>Servo Motor 20Kg 7.4V</t>
  </si>
  <si>
    <t>3D printer filament</t>
  </si>
  <si>
    <t>-</t>
  </si>
  <si>
    <t>Teensy 4.1</t>
  </si>
  <si>
    <t>Acrylic 3mm thickness</t>
  </si>
  <si>
    <t>Micro Maestro 6-channel USB Servo Controller</t>
  </si>
  <si>
    <t>Aluminium Servo Disc</t>
  </si>
  <si>
    <t>Pixy 2 Camera</t>
  </si>
  <si>
    <t>M3 Stainless Steel Threaded Rod 1m</t>
  </si>
  <si>
    <t>3.3V to 5V LLC</t>
  </si>
  <si>
    <t>M3 x 6mm Inserts</t>
  </si>
  <si>
    <t>Custom PCB</t>
  </si>
  <si>
    <t>M3 x 5mm Standoff</t>
  </si>
  <si>
    <t>Male Pins 1 Row for PCB</t>
  </si>
  <si>
    <t>M3 Locknuts</t>
  </si>
  <si>
    <t>Female Pins 1 Row for PCB</t>
  </si>
  <si>
    <t>M3 x 5mm Screws</t>
  </si>
  <si>
    <t>Male-female/male-male wire</t>
  </si>
  <si>
    <t>M3 x 14mm Screws</t>
  </si>
  <si>
    <t>2-Contact Screw Termination</t>
  </si>
  <si>
    <t>M3 x 20mm Button Head Screw</t>
  </si>
  <si>
    <t>USB cable</t>
  </si>
  <si>
    <t>M3 x 25mm Screw</t>
  </si>
  <si>
    <t>3x2 Male Pins</t>
  </si>
  <si>
    <t>20 x 20mm Alum Profile 5mm Groove 2m</t>
  </si>
  <si>
    <t>3x2 Female Pins</t>
  </si>
  <si>
    <t>M5 T-Slot Nut Groove Size 5mm</t>
  </si>
  <si>
    <t>Toggle Switch</t>
  </si>
  <si>
    <t>M5 x 12mm Screw</t>
  </si>
  <si>
    <t>18 AWG Wire</t>
  </si>
  <si>
    <t>40cm</t>
  </si>
  <si>
    <t>Silicon Glue Tube</t>
  </si>
  <si>
    <t>Amass T-Plug2 [deans] - 1x Male</t>
  </si>
  <si>
    <t>LiPo Battery 7.4V 6200mAh</t>
  </si>
  <si>
    <t>Cable x5 cores</t>
  </si>
  <si>
    <t>80cm</t>
  </si>
  <si>
    <t>Cable Nylon Cover</t>
  </si>
  <si>
    <t>5cm</t>
  </si>
  <si>
    <t>LiPo Alarm</t>
  </si>
  <si>
    <t>Voltage Regulator 5V</t>
  </si>
  <si>
    <t>Stewart Platform</t>
  </si>
  <si>
    <t>Name of Component</t>
  </si>
  <si>
    <t>Price</t>
  </si>
  <si>
    <t>Sold Quantity</t>
  </si>
  <si>
    <t>Needed Quantity</t>
  </si>
  <si>
    <t>Cost of Used Parts</t>
  </si>
  <si>
    <t>Ordered</t>
  </si>
  <si>
    <t>JX CLS6336HV 35kg digital servo</t>
  </si>
  <si>
    <t>6 channel Polulu Maestro servo controller</t>
  </si>
  <si>
    <t>Pixy2 Camera</t>
  </si>
  <si>
    <t>pins in lab</t>
  </si>
  <si>
    <t>3.3 to 5v logic level converter</t>
  </si>
  <si>
    <t>From lab</t>
  </si>
  <si>
    <t>half proto board+screw terminal</t>
  </si>
  <si>
    <t>SPST switch</t>
  </si>
  <si>
    <t>18 AWG wire</t>
  </si>
  <si>
    <t>XT60H connector pair</t>
  </si>
  <si>
    <t>2S (7.4v) 6200mah lipo battery</t>
  </si>
  <si>
    <t>Subtotal</t>
  </si>
  <si>
    <t>Material</t>
  </si>
  <si>
    <t>In lab (20% infill - ball 100%)</t>
  </si>
  <si>
    <t>In lab (3mm thick)</t>
  </si>
  <si>
    <t>Platform</t>
  </si>
  <si>
    <t>25T servo disc</t>
  </si>
  <si>
    <t>m3 x 120mm pushrod connector</t>
  </si>
  <si>
    <t>Missing</t>
  </si>
  <si>
    <t>22mm long m3 tie rod</t>
  </si>
  <si>
    <t>m3 x 6mm threaded inserts</t>
  </si>
  <si>
    <t>m3 x 10mm standoffs</t>
  </si>
  <si>
    <t>m3 x 5mm standoffs</t>
  </si>
  <si>
    <t>m3 locknuts</t>
  </si>
  <si>
    <t>m3 x 5mm screws</t>
  </si>
  <si>
    <t>m3 x 10mm screws</t>
  </si>
  <si>
    <t>m3 x 12mm screws</t>
  </si>
  <si>
    <t>use 15 mm</t>
  </si>
  <si>
    <t>m3 x 14mm screws</t>
  </si>
  <si>
    <t>m3 x 15mm screws</t>
  </si>
  <si>
    <t>from lab</t>
  </si>
  <si>
    <t>m3 x 20mm button head screws</t>
  </si>
  <si>
    <t>from lab 25mm</t>
  </si>
  <si>
    <t>m3 x 22mm screws</t>
  </si>
  <si>
    <t>m3 x 30mm screws</t>
  </si>
  <si>
    <t>3/4 x 48 inch wooden dowel</t>
  </si>
  <si>
    <t>#6 x 1-1/4 inch wood screws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</si>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</sst>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$&quot;#,##0.00_);[Red]\(&quot;$&quot;#,##0.00\)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0" tint="-0.149998474074526"/>
      </left>
      <right/>
      <top style="thin">
        <color theme="0" tint="-0.149998474074526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9" borderId="2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29" applyNumberFormat="0" applyAlignment="0" applyProtection="0">
      <alignment vertical="center"/>
    </xf>
    <xf numFmtId="0" fontId="15" fillId="11" borderId="30" applyNumberFormat="0" applyAlignment="0" applyProtection="0">
      <alignment vertical="center"/>
    </xf>
    <xf numFmtId="0" fontId="16" fillId="11" borderId="29" applyNumberFormat="0" applyAlignment="0" applyProtection="0">
      <alignment vertical="center"/>
    </xf>
    <xf numFmtId="0" fontId="17" fillId="12" borderId="31" applyNumberFormat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5" borderId="4" xfId="6" applyFont="1" applyFill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2" fillId="6" borderId="10" xfId="6" applyFont="1" applyFill="1" applyBorder="1" applyAlignment="1">
      <alignment horizontal="center"/>
    </xf>
    <xf numFmtId="176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76" fontId="0" fillId="0" borderId="12" xfId="0" applyNumberFormat="1" applyBorder="1" applyAlignment="1">
      <alignment horizontal="center"/>
    </xf>
    <xf numFmtId="0" fontId="2" fillId="6" borderId="4" xfId="6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13" xfId="0" applyFont="1" applyFill="1" applyBorder="1" applyAlignment="1">
      <alignment horizontal="center"/>
    </xf>
    <xf numFmtId="176" fontId="1" fillId="0" borderId="14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176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2" fillId="5" borderId="10" xfId="6" applyFont="1" applyFill="1" applyBorder="1" applyAlignment="1">
      <alignment horizontal="center"/>
    </xf>
    <xf numFmtId="0" fontId="3" fillId="6" borderId="10" xfId="6" applyFill="1" applyBorder="1" applyAlignment="1">
      <alignment horizontal="center"/>
    </xf>
    <xf numFmtId="1" fontId="0" fillId="0" borderId="0" xfId="0" applyNumberFormat="1"/>
    <xf numFmtId="0" fontId="0" fillId="7" borderId="0" xfId="0" applyFill="1"/>
    <xf numFmtId="0" fontId="4" fillId="8" borderId="10" xfId="6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176" fontId="1" fillId="0" borderId="21" xfId="0" applyNumberFormat="1" applyFont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0" fontId="0" fillId="0" borderId="15" xfId="0" applyBorder="1"/>
    <xf numFmtId="0" fontId="0" fillId="7" borderId="22" xfId="0" applyFill="1" applyBorder="1"/>
    <xf numFmtId="0" fontId="1" fillId="2" borderId="1" xfId="0" applyFont="1" applyFill="1" applyBorder="1" applyAlignment="1">
      <alignment horizontal="center"/>
    </xf>
    <xf numFmtId="176" fontId="0" fillId="0" borderId="0" xfId="0" applyNumberFormat="1"/>
    <xf numFmtId="0" fontId="5" fillId="0" borderId="0" xfId="0" applyFont="1" applyBorder="1"/>
    <xf numFmtId="0" fontId="0" fillId="0" borderId="0" xfId="0" applyBorder="1"/>
    <xf numFmtId="0" fontId="6" fillId="0" borderId="23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2" fillId="0" borderId="11" xfId="6" applyFont="1" applyFill="1" applyBorder="1"/>
    <xf numFmtId="0" fontId="0" fillId="0" borderId="11" xfId="0" applyFill="1" applyBorder="1" applyAlignment="1">
      <alignment horizontal="right"/>
    </xf>
    <xf numFmtId="0" fontId="0" fillId="0" borderId="0" xfId="0" applyFill="1" applyBorder="1"/>
    <xf numFmtId="0" fontId="0" fillId="0" borderId="5" xfId="6" applyFont="1" applyFill="1" applyBorder="1" applyAlignment="1">
      <alignment horizontal="left"/>
    </xf>
    <xf numFmtId="1" fontId="0" fillId="0" borderId="11" xfId="0" applyNumberFormat="1" applyFill="1" applyBorder="1" applyAlignment="1">
      <alignment horizontal="right"/>
    </xf>
    <xf numFmtId="0" fontId="0" fillId="0" borderId="11" xfId="6" applyFont="1" applyFill="1" applyBorder="1" applyAlignment="1">
      <alignment horizontal="left"/>
    </xf>
    <xf numFmtId="0" fontId="2" fillId="0" borderId="11" xfId="6" applyFont="1" applyFill="1" applyBorder="1" applyAlignment="1">
      <alignment horizontal="left"/>
    </xf>
    <xf numFmtId="0" fontId="3" fillId="0" borderId="11" xfId="6" applyFill="1" applyBorder="1" applyAlignment="1">
      <alignment horizontal="left"/>
    </xf>
    <xf numFmtId="0" fontId="3" fillId="0" borderId="11" xfId="6" applyFont="1" applyFill="1" applyBorder="1" applyAlignment="1">
      <alignment horizontal="left"/>
    </xf>
    <xf numFmtId="0" fontId="2" fillId="0" borderId="5" xfId="6" applyFont="1" applyFill="1" applyBorder="1" applyAlignment="1">
      <alignment horizontal="left"/>
    </xf>
    <xf numFmtId="0" fontId="2" fillId="0" borderId="0" xfId="6" applyFont="1" applyFill="1" applyBorder="1" applyAlignment="1">
      <alignment horizontal="left"/>
    </xf>
    <xf numFmtId="0" fontId="3" fillId="0" borderId="5" xfId="6" applyFill="1" applyBorder="1" applyAlignment="1">
      <alignment horizontal="left"/>
    </xf>
    <xf numFmtId="0" fontId="3" fillId="0" borderId="0" xfId="6" applyFill="1" applyBorder="1" applyAlignment="1">
      <alignment horizontal="left"/>
    </xf>
    <xf numFmtId="0" fontId="4" fillId="0" borderId="0" xfId="6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no.rs-online.com/web/p/threaded-rods/0280363" TargetMode="External"/><Relationship Id="rId8" Type="http://schemas.openxmlformats.org/officeDocument/2006/relationships/hyperlink" Target="https://www.digikey.no/no/products/detail/sparkfun-electronics/09664/5764499?s=N4IgTCBcDaILYEMCmBnALgJwPYAIVIwDcsQBdAXyA" TargetMode="External"/><Relationship Id="rId7" Type="http://schemas.openxmlformats.org/officeDocument/2006/relationships/hyperlink" Target="https://www.elkjop.no/product/sport-hobby-og-fritid/leker/radiostyrte-kjoretoy-og-tilbehor/reservedeler-til-radiostyrte-kjoretoy/2s-6200mah-100c-cnhl-racing-series-deans/717832" TargetMode="External"/><Relationship Id="rId6" Type="http://schemas.openxmlformats.org/officeDocument/2006/relationships/hyperlink" Target="https://www.elfadistrelec.no/en/miniature-toggle-switch-on-off-on-1co-soldering-lugs-rs-pro-7347123/p/30466736?trackQuery=toggle%20swithc&amp;pos=5&amp;origPos=16&amp;origPageSize=50&amp;track=true&amp;sid=RfcVK106Aa_2&amp;itemList=search" TargetMode="External"/><Relationship Id="rId5" Type="http://schemas.openxmlformats.org/officeDocument/2006/relationships/hyperlink" Target="https://www.pcbway.com/" TargetMode="External"/><Relationship Id="rId4" Type="http://schemas.openxmlformats.org/officeDocument/2006/relationships/hyperlink" Target="https://www.elfadistrelec.no/en/bi-directional-logic-voltage-level-converter-sparkfun-electronics-bob-12009/p/30145425?trackQuery=Logic%20Level%20Converter&amp;pos=5&amp;origPos=1&amp;origPageSize=50&amp;track=true&amp;sid=IRtYG6wSo6&amp;itemList=search" TargetMode="External"/><Relationship Id="rId3" Type="http://schemas.openxmlformats.org/officeDocument/2006/relationships/hyperlink" Target="https://www.elfadistrelec.no/en/pixy2-cmucam5-camera-board-sparkfun-electronics-sen-14678/p/30145515" TargetMode="External"/><Relationship Id="rId29" Type="http://schemas.openxmlformats.org/officeDocument/2006/relationships/hyperlink" Target="https://no.rs-online.com/web/p/glues/7703434?gb=s" TargetMode="External"/><Relationship Id="rId28" Type="http://schemas.openxmlformats.org/officeDocument/2006/relationships/hyperlink" Target="https://no.rs-online.com/web/p/socket-screws/0281079?gb=s" TargetMode="External"/><Relationship Id="rId27" Type="http://schemas.openxmlformats.org/officeDocument/2006/relationships/hyperlink" Target="https://no.rs-online.com/web/p/connecting-components/1809104" TargetMode="External"/><Relationship Id="rId26" Type="http://schemas.openxmlformats.org/officeDocument/2006/relationships/hyperlink" Target="https://no.rs-online.com/web/p/tubing-and-profile-struts/8508470?gb=s" TargetMode="External"/><Relationship Id="rId25" Type="http://schemas.openxmlformats.org/officeDocument/2006/relationships/hyperlink" Target="https://no.rs-online.com/web/p/security-screws/6212760?gb=s" TargetMode="External"/><Relationship Id="rId24" Type="http://schemas.openxmlformats.org/officeDocument/2006/relationships/hyperlink" Target="https://no.rs-online.com/web/p/socket-screws/0293319?gb=s" TargetMode="External"/><Relationship Id="rId23" Type="http://schemas.openxmlformats.org/officeDocument/2006/relationships/hyperlink" Target="https://no.rs-online.com/web/p/socket-screws/0606457?gb=s" TargetMode="External"/><Relationship Id="rId22" Type="http://schemas.openxmlformats.org/officeDocument/2006/relationships/hyperlink" Target="https://no.rs-online.com/web/p/socket-screws/8229094?gb=s" TargetMode="External"/><Relationship Id="rId21" Type="http://schemas.openxmlformats.org/officeDocument/2006/relationships/hyperlink" Target="https://no.rs-online.com/web/p/hex-nuts/0767804?gb=s" TargetMode="External"/><Relationship Id="rId20" Type="http://schemas.openxmlformats.org/officeDocument/2006/relationships/hyperlink" Target="https://no.rs-online.com/web/p/standoffs/0222367?gb=s" TargetMode="External"/><Relationship Id="rId2" Type="http://schemas.openxmlformats.org/officeDocument/2006/relationships/hyperlink" Target="https://www.elfadistrelec.no/en/teensy-development-board-6v-sparkfun-electronics-dev-16771/p/30178274" TargetMode="External"/><Relationship Id="rId19" Type="http://schemas.openxmlformats.org/officeDocument/2006/relationships/hyperlink" Target="https://no.rs-online.com/web/p/threaded-inserts/2040620?gb=s" TargetMode="External"/><Relationship Id="rId18" Type="http://schemas.openxmlformats.org/officeDocument/2006/relationships/hyperlink" Target="https://uk.rs-online.com/web/p/voltage-regulators/5339404" TargetMode="External"/><Relationship Id="rId17" Type="http://schemas.openxmlformats.org/officeDocument/2006/relationships/hyperlink" Target="https://www.elefun.no/vare-33067/radioutstyr-tilbehor-buzzer-2s-8s-lipo-alarm-voltage-tester" TargetMode="External"/><Relationship Id="rId16" Type="http://schemas.openxmlformats.org/officeDocument/2006/relationships/hyperlink" Target="https://www.elkjop.no/product/hjem-rengjoring-og-kjokkenutstyr/belysning-og-elektriske-artikler/elektrisk-utstyr/kabler-og-adaptere/amass-t-plug2-deans-1x-male/MP32316" TargetMode="External"/><Relationship Id="rId15" Type="http://schemas.openxmlformats.org/officeDocument/2006/relationships/hyperlink" Target="https://no.rs-online.com/web/p/pcb-sockets/2079182?gb=s" TargetMode="External"/><Relationship Id="rId14" Type="http://schemas.openxmlformats.org/officeDocument/2006/relationships/hyperlink" Target="https://no.rs-online.com/web/p/pcb-headers/1802895" TargetMode="External"/><Relationship Id="rId13" Type="http://schemas.openxmlformats.org/officeDocument/2006/relationships/hyperlink" Target="https://no.rs-online.com/web/p/pcb-terminal-blocks/1468345?gb=s" TargetMode="External"/><Relationship Id="rId12" Type="http://schemas.openxmlformats.org/officeDocument/2006/relationships/hyperlink" Target="https://no.rs-online.com/web/p/pcb-sockets/7655806?gb=s" TargetMode="External"/><Relationship Id="rId11" Type="http://schemas.openxmlformats.org/officeDocument/2006/relationships/hyperlink" Target="https://no.rs-online.com/web/p/pcb-headers/7671176P?gb=s" TargetMode="External"/><Relationship Id="rId10" Type="http://schemas.openxmlformats.org/officeDocument/2006/relationships/hyperlink" Target="https://no.rs-online.com/web/p/control-cable/2658824?gb=s" TargetMode="External"/><Relationship Id="rId1" Type="http://schemas.openxmlformats.org/officeDocument/2006/relationships/hyperlink" Target="https://www.digikey.no/en/products/detail/dfrobot/SER0030/7597225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m/dp/B07LBQRYR3?psc=1&amp;ref=ppx_yo2ov_dt_b_product_details" TargetMode="External"/><Relationship Id="rId8" Type="http://schemas.openxmlformats.org/officeDocument/2006/relationships/hyperlink" Target="https://www.amazon.com/dp/B09JLKLK73?psc=1&amp;ref=ppx_yo2ov_dt_b_product_details" TargetMode="External"/><Relationship Id="rId7" Type="http://schemas.openxmlformats.org/officeDocument/2006/relationships/hyperlink" Target="https://www.amazon.com/dp/B07MC44S4T?ref=ppx_yo2ov_dt_b_product_details&amp;th=1" TargetMode="External"/><Relationship Id="rId6" Type="http://schemas.openxmlformats.org/officeDocument/2006/relationships/hyperlink" Target="https://www.amazon.com/dp/B07F7W91LC?psc=1&amp;ref=ppx_yo2ov_dt_b_product_details" TargetMode="External"/><Relationship Id="rId5" Type="http://schemas.openxmlformats.org/officeDocument/2006/relationships/hyperlink" Target="https://www.amazon.com/dp/B004G54CHW?psc=1&amp;ref=ppx_yo2ov_dt_b_product_details" TargetMode="External"/><Relationship Id="rId4" Type="http://schemas.openxmlformats.org/officeDocument/2006/relationships/hyperlink" Target="https://www.amazon.com/dp/B088D3FWR7?psc=1&amp;ref=ppx_yo2ov_dt_b_product_details" TargetMode="External"/><Relationship Id="rId3" Type="http://schemas.openxmlformats.org/officeDocument/2006/relationships/hyperlink" Target="https://www.amazon.com/Zeee-6200mAh-Battery-Connector-Evader/dp/B07YD6282M/ref=sr_1_12?keywords=2s+6200mah+battery&amp;qid=1654392858&amp;sr=8-12" TargetMode="External"/><Relationship Id="rId28" Type="http://schemas.openxmlformats.org/officeDocument/2006/relationships/hyperlink" Target="https://www.amazon.com/M3-0-5-Button-Socket-Stainless-Quantity/dp/B083HCWJGQ/ref=sr_1_3?crid=NGMYYNGWP7QV&amp;keywords=m3%2Bx%2B20mm%2Bbutton%2Bhead%2Bscrews&amp;qid=1672645478&amp;sprefix=m3%2Bx%2B20mm%2Bbutton%2Bhead%2Bscrews%2Caps%2C122&amp;sr=8-3&amp;th=1" TargetMode="External"/><Relationship Id="rId27" Type="http://schemas.openxmlformats.org/officeDocument/2006/relationships/hyperlink" Target="https://www.amazon.com/BNTECHGO-Silicone-Flexible-Strands-Stranded/dp/B01C5CANVG/ref=sr_1_1_sspa?crid=KVB1VTUHP2QX&amp;keywords=18%2Bawg%2Bwire&amp;qid=1654286009&amp;s=industrial&amp;sprefix=18%2Bawg%2Bwir%2Cindustrial%2C105&amp;sr=1-1-spons&amp;spLa=ZW5jcnlwdGVkUXVhbGlmaWVyPUEyUllBSVdMMDU0NTEmZW5jcnlwdGVkSWQ9QTA0MjgyODUzT1U3REpIQk44WVZVJmVuY3J5cHRlZEFkSWQ9QTAzMjc3MjUzTDAzQ0MyVkhUQ0xBJndpZGdldE5hbWU9c3BfYXRmJmFjdGlvbj1jbGlja1JlZGlyZWN0JmRvTm90TG9nQ2xpY2s9dHJ1ZQ&amp;th=1" TargetMode="External"/><Relationship Id="rId26" Type="http://schemas.openxmlformats.org/officeDocument/2006/relationships/hyperlink" Target="https://www.amazon.com/dp/B01N2U8PK0?psc=1&amp;ref=ppx_yo2ov_dt_b_product_details" TargetMode="External"/><Relationship Id="rId25" Type="http://schemas.openxmlformats.org/officeDocument/2006/relationships/hyperlink" Target="https://www.amazon.com/Inch-Wooden-Dowel-Rods-Woodworking/dp/B01GQTB99Y/ref=sr_1_1_sspa?crid=3KSM0TYYM48YG&amp;keywords=.75%22%2Bwooden%2Bdowel&amp;qid=1672606840&amp;sprefix=75%2Bwooden%2Bdowel%2Caps%2C372&amp;sr=8-1-spons&amp;smid=A1DAYYSW7X7ON2&amp;spLa=ZW5jcnlwdGVkUXVhbGlmaWVyPUEzSktXRjA2M0FTVVhOJmVuY3J5cHRlZElkPUEwNzcwMjk4Q0lJTTZPRzJQVENDJmVuY3J5cHRlZEFkSWQ9QTA0ODQ1NzYzTlZLRFNUUlY2Mkc1JndpZGdldE5hbWU9c3BfYXRmJmFjdGlvbj1jbGlja1JlZGlyZWN0JmRvTm90TG9nQ2xpY2s9dHJ1ZQ&amp;th=1" TargetMode="External"/><Relationship Id="rId24" Type="http://schemas.openxmlformats.org/officeDocument/2006/relationships/hyperlink" Target="https://www.andymark.com/products/waterjet-cutting-services?sku=am-waterjetservice" TargetMode="External"/><Relationship Id="rId23" Type="http://schemas.openxmlformats.org/officeDocument/2006/relationships/hyperlink" Target="https://www.amazon.com/iExcell-Stainless-Socket-Button-Screws/dp/B08H2JKBCN/ref=sr_1_7?crid=2PII1RZSBDUG7&amp;keywords=m3%2Bx%2B30mm&amp;qid=1672199898&amp;sprefix=m3%2Bx%2B30mm%2Caps%2C169&amp;sr=8-7&amp;th=1" TargetMode="External"/><Relationship Id="rId22" Type="http://schemas.openxmlformats.org/officeDocument/2006/relationships/hyperlink" Target="https://www.amazon.com/Electronics-Salon-100pcs-Machine-Combination-Phillips-Slotted/dp/B06ZZ1LLQ7/ref=sr_1_4?crid=1U9F5RL6NGE8R&amp;keywords=m3+x+22mm&amp;qid=1672199837&amp;sprefix=m3+x+22mm%2Caps%2C165&amp;sr=8-4" TargetMode="External"/><Relationship Id="rId21" Type="http://schemas.openxmlformats.org/officeDocument/2006/relationships/hyperlink" Target="https://www.amazon.com/iExcell-Stainless-Socket-Screws-Wrench/dp/B089KTD5G3/ref=sr_1_7?crid=2H01C0QWSXXKH&amp;keywords=m3%2Bx%2B15mm&amp;qid=1672199777&amp;sprefix=m3%2Bx%2B15mm%2Caps%2C118&amp;sr=8-7&amp;th=1" TargetMode="External"/><Relationship Id="rId20" Type="http://schemas.openxmlformats.org/officeDocument/2006/relationships/hyperlink" Target="https://www.amazon.com/iExcell-Socket-Screws-Bolts-Finish/dp/B0BCG79KG4/ref=sr_1_15?crid=3UHOHFFTSLQXQ&amp;keywords=m3%2Bx%2B4mm&amp;qid=1654294131&amp;sprefix=m3%2Bx%2B4mm%2Caps%2C132&amp;sr=8-15&amp;th=1" TargetMode="External"/><Relationship Id="rId2" Type="http://schemas.openxmlformats.org/officeDocument/2006/relationships/hyperlink" Target="https://www.amazon.com/dp/B08BWPGSSC?psc=1&amp;ref=ppx_yo2ov_dt_b_product_details" TargetMode="External"/><Relationship Id="rId19" Type="http://schemas.openxmlformats.org/officeDocument/2006/relationships/hyperlink" Target="https://www.amazon.com/dp/B07M7D8LC8/ref=twister_B086M869HG?_encoding=UTF8&amp;th=1" TargetMode="External"/><Relationship Id="rId18" Type="http://schemas.openxmlformats.org/officeDocument/2006/relationships/hyperlink" Target="https://www.amazon.com/Charmed-Labs-Pixy2-Vision-Sensor/dp/B07D1CLYD2/ref=sr_1_2?crid=36P1PB41U4DMY&amp;keywords=pixy+cam&amp;qid=1671336114&amp;sprefix=pixy+cam%2Caps%2C131&amp;sr=8-2&amp;ufe=app_do%3Aamzn1.fos.006c50ae-5d4c-4777-9bc0-4513d670b6bc" TargetMode="External"/><Relationship Id="rId17" Type="http://schemas.openxmlformats.org/officeDocument/2006/relationships/hyperlink" Target="https://www.amazon.com/dp/B07M7D9PRM?psc=1&amp;ref=ppx_yo2ov_dt_b_product_details" TargetMode="External"/><Relationship Id="rId16" Type="http://schemas.openxmlformats.org/officeDocument/2006/relationships/hyperlink" Target="https://www.amazon.com/Seamuing-Aluminum-Futaba-Mechanical-Helicopter/dp/B07D56FVK5/ref=sr_1_6?crid=32OZ7RYJ1V9W4&amp;keywords=disc+servo&amp;qid=1654294668&amp;sprefix=disc+servo+%2Caps%2C116&amp;sr=8-6" TargetMode="External"/><Relationship Id="rId15" Type="http://schemas.openxmlformats.org/officeDocument/2006/relationships/hyperlink" Target="https://www.amazon.com/Stainless-Phillips-Tapping-SG-TZH/dp/B09C5FM888/ref=sr_1_1_sspa?crid=1DW2FEXN19OLG&amp;keywords=%236%2Bx%2B1.25%2Bscrews&amp;qid=1672198718&amp;sprefix=%2Bx%2B1.25%2B%2Caps%2C5417&amp;sr=8-1-spons&amp;spLa=ZW5jcnlwdGVkUXVhbGlmaWVyPUExUjY3NUpVV1hYVUwxJmVuY3J5cHRlZElkPUEwMjM0NTI1Mk9QNk45MjNaWlpQViZlbmNyeXB0ZWRBZElkPUEwNjYwNDExM1RXVkVYVENJRU1XWiZ3aWRnZXROYW1lPXNwX2F0ZiZhY3Rpb249Y2xpY2tSZWRpcmVjdCZkb05vdExvZ0NsaWNrPXRydWU&amp;th=1" TargetMode="External"/><Relationship Id="rId14" Type="http://schemas.openxmlformats.org/officeDocument/2006/relationships/hyperlink" Target="https://www.amazon.com/iExcell-Socket-Screws-Bolts-Finish/dp/B08B1VN3BJ/ref=sr_1_15?crid=3UHOHFFTSLQXQ&amp;keywords=m3%2Bx%2B4mm&amp;qid=1654294131&amp;sprefix=m3%2Bx%2B4mm%2Caps%2C132&amp;sr=8-15&amp;th=1" TargetMode="External"/><Relationship Id="rId13" Type="http://schemas.openxmlformats.org/officeDocument/2006/relationships/hyperlink" Target="https://www.amazon.com/iExcell-Socket-Screws-Bolts-Finish/dp/B08B1W1FHS/ref=sr_1_15?crid=3UHOHFFTSLQXQ&amp;keywords=m3%2Bx%2B4mm&amp;qid=1654294131&amp;sprefix=m3%2Bx%2B4mm%2Caps%2C132&amp;sr=8-15&amp;th=1" TargetMode="External"/><Relationship Id="rId12" Type="http://schemas.openxmlformats.org/officeDocument/2006/relationships/hyperlink" Target="https://www.amazon.com/iExcell-Socket-Screws-Bolts-Finish/dp/B08B1T4HHP/ref=sr_1_15?crid=3UHOHFFTSLQXQ&amp;keywords=m3%2Bx%2B4mm&amp;qid=1654294131&amp;sprefix=m3%2Bx%2B4mm%2Caps%2C132&amp;sr=8-15&amp;th=1" TargetMode="External"/><Relationship Id="rId11" Type="http://schemas.openxmlformats.org/officeDocument/2006/relationships/hyperlink" Target="https://www.amazon.com/Upgrade-Female-Bullet-Connectors-Battery/dp/B07VRZR5TL/ref=sr_1_2?crid=3N6T3XK812QTD&amp;keywords=XTC+connector&amp;qid=1654285537&amp;sprefix=xtc+connector%2Caps%2C124&amp;sr=8-2" TargetMode="External"/><Relationship Id="rId10" Type="http://schemas.openxmlformats.org/officeDocument/2006/relationships/hyperlink" Target="https://www.amazon.com/100Pcs-Stainless-Self-Lock-Inserted-Clinching/dp/B075ZZW7VL/ref=sr_1_3?crid=2V8TUR0YD3L8Z&amp;keywords=m3+locknuts&amp;qid=1650853855&amp;s=hi&amp;sprefix=m3+lock+nut%2Ctools%2C88&amp;sr=1-3" TargetMode="External"/><Relationship Id="rId1" Type="http://schemas.openxmlformats.org/officeDocument/2006/relationships/hyperlink" Target="https://www.amazon.com/dp/B087LQXDS9?psc=1&amp;ref=ppx_yo2ov_dt_b_product_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1"/>
  <sheetViews>
    <sheetView tabSelected="1" zoomScale="70" zoomScaleNormal="70" workbookViewId="0">
      <selection activeCell="F12" sqref="F12"/>
    </sheetView>
  </sheetViews>
  <sheetFormatPr defaultColWidth="9" defaultRowHeight="14.25" outlineLevelCol="5"/>
  <cols>
    <col min="1" max="1" width="16.8053097345133" style="49" customWidth="1"/>
    <col min="2" max="2" width="36.6637168141593" style="49" customWidth="1"/>
    <col min="3" max="3" width="10.1504424778761" style="49" customWidth="1"/>
    <col min="4" max="4" width="4.07964601769912" style="49" customWidth="1"/>
    <col min="5" max="5" width="37.1061946902655" style="49" customWidth="1"/>
    <col min="6" max="16384" width="9" style="49"/>
  </cols>
  <sheetData>
    <row r="2" ht="18" spans="2:6">
      <c r="B2" s="50" t="s">
        <v>0</v>
      </c>
      <c r="C2" s="51"/>
      <c r="D2" s="51"/>
      <c r="E2" s="51"/>
      <c r="F2" s="52"/>
    </row>
    <row r="4" ht="19" customHeight="1" spans="2:6">
      <c r="B4" s="53" t="s">
        <v>1</v>
      </c>
      <c r="C4" s="53" t="s">
        <v>2</v>
      </c>
      <c r="D4" s="54"/>
      <c r="E4" s="53" t="s">
        <v>3</v>
      </c>
      <c r="F4" s="53" t="s">
        <v>2</v>
      </c>
    </row>
    <row r="5" ht="15.6" customHeight="1" spans="2:6">
      <c r="B5" s="55" t="s">
        <v>4</v>
      </c>
      <c r="C5" s="56">
        <v>6</v>
      </c>
      <c r="D5" s="57"/>
      <c r="E5" s="58" t="s">
        <v>5</v>
      </c>
      <c r="F5" s="59" t="s">
        <v>6</v>
      </c>
    </row>
    <row r="6" ht="15.6" customHeight="1" spans="2:6">
      <c r="B6" s="55" t="s">
        <v>7</v>
      </c>
      <c r="C6" s="56">
        <v>1</v>
      </c>
      <c r="D6" s="57"/>
      <c r="E6" s="60" t="s">
        <v>8</v>
      </c>
      <c r="F6" s="59" t="s">
        <v>6</v>
      </c>
    </row>
    <row r="7" ht="15.6" customHeight="1" spans="2:6">
      <c r="B7" s="55" t="s">
        <v>9</v>
      </c>
      <c r="C7" s="56">
        <v>1</v>
      </c>
      <c r="D7" s="57"/>
      <c r="E7" s="60" t="s">
        <v>10</v>
      </c>
      <c r="F7" s="59">
        <v>6</v>
      </c>
    </row>
    <row r="8" ht="15.6" customHeight="1" spans="2:6">
      <c r="B8" s="61" t="s">
        <v>11</v>
      </c>
      <c r="C8" s="56">
        <v>1</v>
      </c>
      <c r="D8" s="57"/>
      <c r="E8" s="62" t="s">
        <v>12</v>
      </c>
      <c r="F8" s="59">
        <v>1</v>
      </c>
    </row>
    <row r="9" ht="15.6" customHeight="1" spans="2:6">
      <c r="B9" s="61" t="s">
        <v>13</v>
      </c>
      <c r="C9" s="56">
        <v>1</v>
      </c>
      <c r="D9" s="57"/>
      <c r="E9" s="61" t="s">
        <v>14</v>
      </c>
      <c r="F9" s="59">
        <v>48</v>
      </c>
    </row>
    <row r="10" ht="15.6" customHeight="1" spans="2:6">
      <c r="B10" s="61" t="s">
        <v>15</v>
      </c>
      <c r="C10" s="56">
        <v>1</v>
      </c>
      <c r="D10" s="57"/>
      <c r="E10" s="61" t="s">
        <v>16</v>
      </c>
      <c r="F10" s="59">
        <v>22</v>
      </c>
    </row>
    <row r="11" ht="15.6" customHeight="1" spans="2:6">
      <c r="B11" s="61" t="s">
        <v>17</v>
      </c>
      <c r="C11" s="56">
        <v>84</v>
      </c>
      <c r="D11" s="57"/>
      <c r="E11" s="63" t="s">
        <v>18</v>
      </c>
      <c r="F11" s="59">
        <v>24</v>
      </c>
    </row>
    <row r="12" ht="15.6" customHeight="1" spans="2:6">
      <c r="B12" s="61" t="s">
        <v>19</v>
      </c>
      <c r="C12" s="56">
        <v>80</v>
      </c>
      <c r="D12" s="57"/>
      <c r="E12" s="61" t="s">
        <v>20</v>
      </c>
      <c r="F12" s="59">
        <v>24</v>
      </c>
    </row>
    <row r="13" ht="15.6" customHeight="1" spans="2:6">
      <c r="B13" s="58" t="s">
        <v>21</v>
      </c>
      <c r="C13" s="56">
        <v>6</v>
      </c>
      <c r="D13" s="57"/>
      <c r="E13" s="61" t="s">
        <v>22</v>
      </c>
      <c r="F13" s="59">
        <v>30</v>
      </c>
    </row>
    <row r="14" ht="15.6" customHeight="1" spans="2:6">
      <c r="B14" s="64" t="s">
        <v>23</v>
      </c>
      <c r="C14" s="56">
        <v>1</v>
      </c>
      <c r="D14" s="57"/>
      <c r="E14" s="63" t="s">
        <v>24</v>
      </c>
      <c r="F14" s="59">
        <v>3</v>
      </c>
    </row>
    <row r="15" ht="15.6" customHeight="1" spans="2:6">
      <c r="B15" s="58" t="s">
        <v>25</v>
      </c>
      <c r="C15" s="56">
        <v>2</v>
      </c>
      <c r="D15" s="57"/>
      <c r="E15" s="63" t="s">
        <v>26</v>
      </c>
      <c r="F15" s="59">
        <v>9</v>
      </c>
    </row>
    <row r="16" ht="15.6" customHeight="1" spans="2:6">
      <c r="B16" s="64" t="s">
        <v>27</v>
      </c>
      <c r="C16" s="56">
        <v>1</v>
      </c>
      <c r="D16" s="57"/>
      <c r="E16" s="61" t="s">
        <v>28</v>
      </c>
      <c r="F16" s="56">
        <v>1.2</v>
      </c>
    </row>
    <row r="17" ht="15.6" customHeight="1" spans="2:6">
      <c r="B17" s="61" t="s">
        <v>29</v>
      </c>
      <c r="C17" s="56">
        <v>2</v>
      </c>
      <c r="D17" s="57"/>
      <c r="E17" s="63" t="s">
        <v>30</v>
      </c>
      <c r="F17" s="56">
        <v>8</v>
      </c>
    </row>
    <row r="18" ht="15.6" customHeight="1" spans="2:6">
      <c r="B18" s="61" t="s">
        <v>31</v>
      </c>
      <c r="C18" s="56">
        <v>1</v>
      </c>
      <c r="D18" s="57"/>
      <c r="E18" s="63" t="s">
        <v>32</v>
      </c>
      <c r="F18" s="56">
        <v>8</v>
      </c>
    </row>
    <row r="19" ht="15.6" customHeight="1" spans="2:6">
      <c r="B19" s="60" t="s">
        <v>33</v>
      </c>
      <c r="C19" s="56" t="s">
        <v>34</v>
      </c>
      <c r="D19" s="57"/>
      <c r="E19" s="63" t="s">
        <v>35</v>
      </c>
      <c r="F19" s="56">
        <v>1</v>
      </c>
    </row>
    <row r="20" ht="15.6" customHeight="1" spans="2:6">
      <c r="B20" s="61" t="s">
        <v>36</v>
      </c>
      <c r="C20" s="56">
        <v>1</v>
      </c>
      <c r="D20" s="57"/>
      <c r="E20" s="65"/>
      <c r="F20" s="65"/>
    </row>
    <row r="21" ht="15.6" customHeight="1" spans="2:6">
      <c r="B21" s="62" t="s">
        <v>37</v>
      </c>
      <c r="C21" s="56">
        <v>1</v>
      </c>
      <c r="D21" s="57"/>
      <c r="F21" s="65"/>
    </row>
    <row r="22" ht="15.6" customHeight="1" spans="2:6">
      <c r="B22" s="62" t="s">
        <v>38</v>
      </c>
      <c r="C22" s="56" t="s">
        <v>39</v>
      </c>
      <c r="D22" s="57"/>
      <c r="F22" s="65"/>
    </row>
    <row r="23" ht="15.6" customHeight="1" spans="2:6">
      <c r="B23" s="58" t="s">
        <v>40</v>
      </c>
      <c r="C23" s="56" t="s">
        <v>41</v>
      </c>
      <c r="D23" s="57"/>
      <c r="F23" s="65"/>
    </row>
    <row r="24" ht="14" customHeight="1" spans="2:4">
      <c r="B24" s="66" t="s">
        <v>42</v>
      </c>
      <c r="C24" s="56">
        <v>1</v>
      </c>
      <c r="D24" s="57"/>
    </row>
    <row r="25" s="48" customFormat="1" ht="16" customHeight="1" spans="2:4">
      <c r="B25" s="64" t="s">
        <v>43</v>
      </c>
      <c r="C25" s="56">
        <v>1</v>
      </c>
      <c r="D25" s="54"/>
    </row>
    <row r="26" spans="4:6">
      <c r="D26" s="57"/>
      <c r="F26" s="65"/>
    </row>
    <row r="27" spans="4:6">
      <c r="D27" s="57"/>
      <c r="F27" s="65"/>
    </row>
    <row r="28" spans="4:5">
      <c r="D28" s="57"/>
      <c r="E28" s="65"/>
    </row>
    <row r="29" spans="4:6">
      <c r="D29" s="57"/>
      <c r="F29" s="65"/>
    </row>
    <row r="30" spans="4:6">
      <c r="D30" s="57"/>
      <c r="F30" s="65"/>
    </row>
    <row r="31" spans="4:6">
      <c r="D31" s="57"/>
      <c r="F31" s="65"/>
    </row>
    <row r="32" spans="4:6">
      <c r="D32" s="57"/>
      <c r="F32" s="65"/>
    </row>
    <row r="33" spans="4:6">
      <c r="D33" s="57"/>
      <c r="F33" s="65"/>
    </row>
    <row r="34" spans="4:6">
      <c r="D34" s="57"/>
      <c r="F34" s="65"/>
    </row>
    <row r="35" spans="4:6">
      <c r="D35" s="57"/>
      <c r="F35" s="67"/>
    </row>
    <row r="36" spans="4:6">
      <c r="D36" s="57"/>
      <c r="F36" s="65"/>
    </row>
    <row r="37" spans="1:6">
      <c r="A37" s="57"/>
      <c r="D37" s="57"/>
      <c r="F37" s="65"/>
    </row>
    <row r="38" spans="1:6">
      <c r="A38" s="57"/>
      <c r="D38" s="57"/>
      <c r="F38" s="68"/>
    </row>
    <row r="39" spans="1:6">
      <c r="A39" s="57"/>
      <c r="D39" s="57"/>
      <c r="F39" s="68"/>
    </row>
    <row r="40" spans="1:6">
      <c r="A40" s="57"/>
      <c r="D40" s="57"/>
      <c r="F40" s="68"/>
    </row>
    <row r="41" spans="4:6">
      <c r="D41" s="57"/>
      <c r="F41" s="68"/>
    </row>
  </sheetData>
  <mergeCells count="1">
    <mergeCell ref="B2:F2"/>
  </mergeCells>
  <hyperlinks>
    <hyperlink ref="B5" r:id="rId1" display="Servo Motor 20Kg 7.4V" tooltip="https://www.digikey.no/en/products/detail/dfrobot/SER0030/7597225"/>
    <hyperlink ref="B6" r:id="rId2" display="Teensy 4.1"/>
    <hyperlink ref="B8" r:id="rId3" display="Pixy 2 Camera"/>
    <hyperlink ref="B9" r:id="rId4" display="3.3V to 5V LLC"/>
    <hyperlink ref="B10" r:id="rId5" display="Custom PCB"/>
    <hyperlink ref="B18" r:id="rId6" display="Toggle Switch"/>
    <hyperlink ref="B21" r:id="rId7" display="LiPo Battery 7.4V 6200mAh"/>
    <hyperlink ref="B7" r:id="rId8" display="Micro Maestro 6-channel USB Servo Controller"/>
    <hyperlink ref="E8" r:id="rId9" display="M3 Stainless Steel Threaded Rod 1m"/>
    <hyperlink ref="B22" r:id="rId10" display="Cable x5 cores"/>
    <hyperlink ref="B11" r:id="rId11" display="Male Pins 1 Row for PCB"/>
    <hyperlink ref="B12" r:id="rId12" display="Female Pins 1 Row for PCB"/>
    <hyperlink ref="B14" r:id="rId13" display="2-Contact Screw Termination"/>
    <hyperlink ref="B16" r:id="rId14" display="3x2 Male Pins"/>
    <hyperlink ref="B17" r:id="rId15" display="3x2 Female Pins"/>
    <hyperlink ref="B20" r:id="rId16" display="Amass T-Plug2 [deans] - 1x Male"/>
    <hyperlink ref="B24" r:id="rId17" display="LiPo Alarm"/>
    <hyperlink ref="B25" r:id="rId18" display="Voltage Regulator 5V"/>
    <hyperlink ref="E9" r:id="rId19" display="M3 x 6mm Inserts"/>
    <hyperlink ref="E10" r:id="rId20" display="M3 x 5mm Standoff"/>
    <hyperlink ref="E11" r:id="rId21" display="M3 Locknuts"/>
    <hyperlink ref="E12" r:id="rId22" display="M3 x 5mm Screws"/>
    <hyperlink ref="E13" r:id="rId23" display="M3 x 14mm Screws"/>
    <hyperlink ref="E15" r:id="rId24" display="M3 x 25mm Screw"/>
    <hyperlink ref="E14" r:id="rId25" display="M3 x 20mm Button Head Screw"/>
    <hyperlink ref="E16" r:id="rId26" display="20 x 20mm Alum Profile 5mm Groove 2m"/>
    <hyperlink ref="E17" r:id="rId27" display="M5 T-Slot Nut Groove Size 5mm"/>
    <hyperlink ref="E18" r:id="rId28" display="M5 x 12mm Screw"/>
    <hyperlink ref="E19" r:id="rId29" display="Silicon Glue Tube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zoomScale="70" zoomScaleNormal="70" workbookViewId="0">
      <selection activeCell="B12" sqref="B12"/>
    </sheetView>
  </sheetViews>
  <sheetFormatPr defaultColWidth="9" defaultRowHeight="14.25"/>
  <cols>
    <col min="1" max="1" width="16.8053097345133" customWidth="1"/>
    <col min="2" max="2" width="36.6637168141593" customWidth="1"/>
    <col min="3" max="3" width="8.33628318584071" customWidth="1"/>
    <col min="4" max="4" width="12.6637168141593" customWidth="1"/>
    <col min="5" max="5" width="16.2212389380531" customWidth="1"/>
    <col min="6" max="6" width="17" customWidth="1"/>
  </cols>
  <sheetData>
    <row r="1" ht="15"/>
    <row r="2" ht="15" spans="2:6">
      <c r="B2" s="1" t="s">
        <v>44</v>
      </c>
      <c r="C2" s="2"/>
      <c r="D2" s="2"/>
      <c r="E2" s="2"/>
      <c r="F2" s="3"/>
    </row>
    <row r="3" ht="15" spans="2:6">
      <c r="B3" s="4" t="s">
        <v>45</v>
      </c>
      <c r="C3" s="5" t="s">
        <v>46</v>
      </c>
      <c r="D3" s="5" t="s">
        <v>47</v>
      </c>
      <c r="E3" s="5" t="s">
        <v>48</v>
      </c>
      <c r="F3" s="6" t="s">
        <v>49</v>
      </c>
    </row>
    <row r="4" ht="15" spans="2:6">
      <c r="B4" s="7"/>
      <c r="C4" s="8"/>
      <c r="D4" s="8"/>
      <c r="E4" s="8"/>
      <c r="F4" s="9"/>
    </row>
    <row r="5" ht="15" customHeight="1" spans="2:6">
      <c r="B5" s="10" t="s">
        <v>1</v>
      </c>
      <c r="C5" s="11"/>
      <c r="D5" s="11"/>
      <c r="E5" s="11"/>
      <c r="F5" s="12"/>
    </row>
    <row r="6" ht="15.6" customHeight="1" spans="1:6">
      <c r="A6" t="s">
        <v>50</v>
      </c>
      <c r="B6" s="13" t="s">
        <v>51</v>
      </c>
      <c r="C6" s="14">
        <v>33.89</v>
      </c>
      <c r="D6" s="15">
        <v>1</v>
      </c>
      <c r="E6" s="15">
        <v>6</v>
      </c>
      <c r="F6" s="16">
        <f t="shared" ref="F6:F15" si="0">(C6/D6)*E6</f>
        <v>203.34</v>
      </c>
    </row>
    <row r="7" ht="15.6" customHeight="1" spans="2:6">
      <c r="B7" s="17" t="s">
        <v>7</v>
      </c>
      <c r="C7" s="18">
        <v>41.99</v>
      </c>
      <c r="D7" s="19">
        <v>1</v>
      </c>
      <c r="E7" s="19">
        <v>1</v>
      </c>
      <c r="F7" s="20">
        <f t="shared" si="0"/>
        <v>41.99</v>
      </c>
    </row>
    <row r="8" ht="15.6" customHeight="1" spans="2:6">
      <c r="B8" s="21" t="s">
        <v>52</v>
      </c>
      <c r="C8" s="14">
        <v>40.96</v>
      </c>
      <c r="D8" s="15">
        <v>1</v>
      </c>
      <c r="E8" s="15">
        <v>1</v>
      </c>
      <c r="F8" s="16">
        <f t="shared" si="0"/>
        <v>40.96</v>
      </c>
    </row>
    <row r="9" ht="15.6" customHeight="1" spans="2:6">
      <c r="B9" s="21" t="s">
        <v>53</v>
      </c>
      <c r="C9" s="14">
        <v>69.9</v>
      </c>
      <c r="D9" s="15">
        <v>1</v>
      </c>
      <c r="E9" s="15">
        <v>1</v>
      </c>
      <c r="F9" s="16">
        <f t="shared" si="0"/>
        <v>69.9</v>
      </c>
    </row>
    <row r="10" ht="15.6" customHeight="1" spans="1:6">
      <c r="A10" t="s">
        <v>54</v>
      </c>
      <c r="B10" s="21" t="s">
        <v>55</v>
      </c>
      <c r="C10" s="14">
        <v>7.49</v>
      </c>
      <c r="D10" s="15">
        <v>10</v>
      </c>
      <c r="E10" s="15">
        <v>1</v>
      </c>
      <c r="F10" s="16">
        <f t="shared" si="0"/>
        <v>0.749</v>
      </c>
    </row>
    <row r="11" ht="15.6" customHeight="1" spans="1:6">
      <c r="A11" t="s">
        <v>56</v>
      </c>
      <c r="B11" s="21" t="s">
        <v>57</v>
      </c>
      <c r="C11" s="14">
        <v>13.99</v>
      </c>
      <c r="D11" s="15">
        <v>6</v>
      </c>
      <c r="E11" s="19">
        <v>1</v>
      </c>
      <c r="F11" s="20">
        <f t="shared" si="0"/>
        <v>2.33166666666667</v>
      </c>
    </row>
    <row r="12" ht="15.6" customHeight="1" spans="2:6">
      <c r="B12" s="21" t="s">
        <v>58</v>
      </c>
      <c r="C12" s="14">
        <v>6.99</v>
      </c>
      <c r="D12" s="15">
        <v>15</v>
      </c>
      <c r="E12" s="15">
        <v>1</v>
      </c>
      <c r="F12" s="16">
        <f t="shared" si="0"/>
        <v>0.466</v>
      </c>
    </row>
    <row r="13" ht="15.6" customHeight="1" spans="2:6">
      <c r="B13" s="21" t="s">
        <v>59</v>
      </c>
      <c r="C13" s="14">
        <v>13.98</v>
      </c>
      <c r="D13" s="15">
        <v>1</v>
      </c>
      <c r="E13" s="15">
        <v>1</v>
      </c>
      <c r="F13" s="16">
        <f t="shared" si="0"/>
        <v>13.98</v>
      </c>
    </row>
    <row r="14" ht="15.6" customHeight="1" spans="2:9">
      <c r="B14" s="21" t="s">
        <v>60</v>
      </c>
      <c r="C14" s="14">
        <v>7.99</v>
      </c>
      <c r="D14" s="15">
        <v>12</v>
      </c>
      <c r="E14" s="15">
        <v>1</v>
      </c>
      <c r="F14" s="16">
        <f t="shared" si="0"/>
        <v>0.665833333333333</v>
      </c>
      <c r="I14" s="47"/>
    </row>
    <row r="15" ht="15.6" customHeight="1" spans="2:6">
      <c r="B15" s="21" t="s">
        <v>61</v>
      </c>
      <c r="C15" s="14">
        <v>24.99</v>
      </c>
      <c r="D15" s="15">
        <v>1</v>
      </c>
      <c r="E15" s="15">
        <v>1</v>
      </c>
      <c r="F15" s="16">
        <f t="shared" si="0"/>
        <v>24.99</v>
      </c>
    </row>
    <row r="16" ht="15" spans="2:6">
      <c r="B16" s="22"/>
      <c r="C16" s="23"/>
      <c r="D16" s="24"/>
      <c r="E16" s="25" t="s">
        <v>62</v>
      </c>
      <c r="F16" s="26">
        <f>SUM(F6:F15)</f>
        <v>399.3725</v>
      </c>
    </row>
    <row r="17" ht="15" spans="2:6">
      <c r="B17" s="27"/>
      <c r="C17" s="28"/>
      <c r="D17" s="29"/>
      <c r="E17" s="30"/>
      <c r="F17" s="31"/>
    </row>
    <row r="18" ht="15" customHeight="1" spans="2:6">
      <c r="B18" s="32" t="s">
        <v>63</v>
      </c>
      <c r="C18" s="33"/>
      <c r="D18" s="33"/>
      <c r="E18" s="33"/>
      <c r="F18" s="34"/>
    </row>
    <row r="19" spans="1:6">
      <c r="A19" t="s">
        <v>64</v>
      </c>
      <c r="B19" s="17" t="s">
        <v>5</v>
      </c>
      <c r="C19" s="18">
        <v>25</v>
      </c>
      <c r="D19" s="35">
        <v>1000</v>
      </c>
      <c r="E19" s="35">
        <v>183</v>
      </c>
      <c r="F19" s="20"/>
    </row>
    <row r="20" spans="1:6">
      <c r="A20" t="s">
        <v>65</v>
      </c>
      <c r="B20" s="17" t="s">
        <v>66</v>
      </c>
      <c r="C20" s="18">
        <v>8.99</v>
      </c>
      <c r="D20" s="35">
        <v>1</v>
      </c>
      <c r="E20" s="35">
        <v>1</v>
      </c>
      <c r="F20" s="20"/>
    </row>
    <row r="21" spans="2:6">
      <c r="B21" s="17" t="s">
        <v>67</v>
      </c>
      <c r="C21" s="18">
        <v>10.99</v>
      </c>
      <c r="D21" s="35">
        <v>10</v>
      </c>
      <c r="E21" s="35">
        <v>6</v>
      </c>
      <c r="F21" s="20">
        <f t="shared" ref="F20:F21" si="1">(C21/D21)*E21</f>
        <v>6.594</v>
      </c>
    </row>
    <row r="22" spans="2:6">
      <c r="B22" s="17" t="s">
        <v>68</v>
      </c>
      <c r="C22" s="18">
        <v>12.49</v>
      </c>
      <c r="D22" s="35">
        <v>10</v>
      </c>
      <c r="E22" s="35">
        <v>6</v>
      </c>
      <c r="F22" s="20">
        <f t="shared" ref="F22:F37" si="2">(C22/D22)*E22</f>
        <v>7.494</v>
      </c>
    </row>
    <row r="23" spans="1:6">
      <c r="A23" t="s">
        <v>69</v>
      </c>
      <c r="B23" s="36" t="s">
        <v>70</v>
      </c>
      <c r="C23" s="18">
        <v>11.99</v>
      </c>
      <c r="D23" s="35">
        <v>10</v>
      </c>
      <c r="E23" s="35">
        <v>12</v>
      </c>
      <c r="F23" s="20">
        <f t="shared" si="2"/>
        <v>14.388</v>
      </c>
    </row>
    <row r="24" spans="2:6">
      <c r="B24" s="17" t="s">
        <v>71</v>
      </c>
      <c r="C24" s="18">
        <v>9.49</v>
      </c>
      <c r="D24" s="35">
        <v>50</v>
      </c>
      <c r="E24" s="35">
        <v>36</v>
      </c>
      <c r="F24" s="20">
        <f t="shared" si="2"/>
        <v>6.8328</v>
      </c>
    </row>
    <row r="25" spans="2:6">
      <c r="B25" s="17" t="s">
        <v>72</v>
      </c>
      <c r="C25" s="18">
        <v>9.99</v>
      </c>
      <c r="D25" s="35">
        <v>10</v>
      </c>
      <c r="E25" s="35">
        <v>3</v>
      </c>
      <c r="F25" s="20">
        <f t="shared" si="2"/>
        <v>2.997</v>
      </c>
    </row>
    <row r="26" spans="2:6">
      <c r="B26" s="17" t="s">
        <v>73</v>
      </c>
      <c r="C26" s="18">
        <v>7.49</v>
      </c>
      <c r="D26" s="35">
        <v>10</v>
      </c>
      <c r="E26" s="35">
        <v>14</v>
      </c>
      <c r="F26" s="20">
        <f t="shared" si="2"/>
        <v>10.486</v>
      </c>
    </row>
    <row r="27" spans="2:6">
      <c r="B27" s="17" t="s">
        <v>74</v>
      </c>
      <c r="C27" s="18">
        <v>6.99</v>
      </c>
      <c r="D27" s="35">
        <v>100</v>
      </c>
      <c r="E27" s="35">
        <v>24</v>
      </c>
      <c r="F27" s="20">
        <f t="shared" si="2"/>
        <v>1.6776</v>
      </c>
    </row>
    <row r="28" spans="2:6">
      <c r="B28" s="17" t="s">
        <v>75</v>
      </c>
      <c r="C28" s="18">
        <v>6.58</v>
      </c>
      <c r="D28" s="35">
        <v>100</v>
      </c>
      <c r="E28" s="35">
        <v>24</v>
      </c>
      <c r="F28" s="20">
        <f t="shared" si="2"/>
        <v>1.5792</v>
      </c>
    </row>
    <row r="29" spans="2:6">
      <c r="B29" s="37" t="s">
        <v>76</v>
      </c>
      <c r="C29" s="18">
        <v>6.68</v>
      </c>
      <c r="D29" s="35">
        <v>100</v>
      </c>
      <c r="E29" s="35">
        <v>2</v>
      </c>
      <c r="F29" s="20">
        <f t="shared" si="2"/>
        <v>0.1336</v>
      </c>
    </row>
    <row r="30" spans="2:8">
      <c r="B30" s="37" t="s">
        <v>77</v>
      </c>
      <c r="C30" s="18">
        <v>6.78</v>
      </c>
      <c r="D30" s="35">
        <v>100</v>
      </c>
      <c r="E30" s="35">
        <v>18</v>
      </c>
      <c r="F30" s="20">
        <f t="shared" si="2"/>
        <v>1.2204</v>
      </c>
      <c r="H30" s="38"/>
    </row>
    <row r="31" spans="1:6">
      <c r="A31" t="s">
        <v>78</v>
      </c>
      <c r="B31" s="37" t="s">
        <v>79</v>
      </c>
      <c r="C31" s="18">
        <v>6.88</v>
      </c>
      <c r="D31" s="35">
        <v>100</v>
      </c>
      <c r="E31" s="35">
        <v>6</v>
      </c>
      <c r="F31" s="20">
        <f t="shared" si="2"/>
        <v>0.4128</v>
      </c>
    </row>
    <row r="32" spans="2:6">
      <c r="B32" s="37" t="s">
        <v>80</v>
      </c>
      <c r="C32" s="18">
        <v>7.28</v>
      </c>
      <c r="D32" s="35">
        <v>100</v>
      </c>
      <c r="E32" s="35">
        <v>4</v>
      </c>
      <c r="F32" s="20">
        <f t="shared" si="2"/>
        <v>0.2912</v>
      </c>
    </row>
    <row r="33" spans="1:6">
      <c r="A33" s="39" t="s">
        <v>81</v>
      </c>
      <c r="B33" s="17" t="s">
        <v>82</v>
      </c>
      <c r="C33" s="18">
        <v>9.49</v>
      </c>
      <c r="D33" s="35">
        <v>100</v>
      </c>
      <c r="E33" s="35">
        <v>3</v>
      </c>
      <c r="F33" s="20"/>
    </row>
    <row r="34" spans="1:6">
      <c r="A34" s="39" t="s">
        <v>83</v>
      </c>
      <c r="B34" s="37" t="s">
        <v>84</v>
      </c>
      <c r="C34" s="18">
        <v>10.99</v>
      </c>
      <c r="D34" s="35">
        <v>100</v>
      </c>
      <c r="E34" s="35">
        <v>6</v>
      </c>
      <c r="F34" s="20"/>
    </row>
    <row r="35" spans="2:6">
      <c r="B35" s="37" t="s">
        <v>85</v>
      </c>
      <c r="C35" s="18">
        <v>6.68</v>
      </c>
      <c r="D35" s="35">
        <v>50</v>
      </c>
      <c r="E35" s="35">
        <v>3</v>
      </c>
      <c r="F35" s="20">
        <f t="shared" si="2"/>
        <v>0.4008</v>
      </c>
    </row>
    <row r="36" spans="1:6">
      <c r="A36" t="s">
        <v>69</v>
      </c>
      <c r="B36" s="40" t="s">
        <v>86</v>
      </c>
      <c r="C36" s="18">
        <v>26.19</v>
      </c>
      <c r="D36" s="35">
        <v>1</v>
      </c>
      <c r="E36" s="35">
        <v>1</v>
      </c>
      <c r="F36" s="20"/>
    </row>
    <row r="37" spans="2:6">
      <c r="B37" s="17" t="s">
        <v>87</v>
      </c>
      <c r="C37" s="18">
        <v>9.99</v>
      </c>
      <c r="D37" s="35">
        <v>100</v>
      </c>
      <c r="E37" s="35">
        <v>4</v>
      </c>
      <c r="F37" s="20"/>
    </row>
    <row r="38" ht="15" spans="2:6">
      <c r="B38" s="22"/>
      <c r="C38" s="23"/>
      <c r="D38" s="23"/>
      <c r="E38" s="41" t="s">
        <v>62</v>
      </c>
      <c r="F38" s="42">
        <f>SUM(F19:F37)</f>
        <v>54.5074</v>
      </c>
    </row>
    <row r="39" ht="15" spans="2:6">
      <c r="B39" s="22"/>
      <c r="C39" s="23"/>
      <c r="D39" s="23"/>
      <c r="E39" s="24"/>
      <c r="F39" s="43"/>
    </row>
    <row r="40" ht="15" spans="2:6">
      <c r="B40" s="44"/>
      <c r="C40" s="30"/>
      <c r="D40" s="45"/>
      <c r="E40" s="46" t="s">
        <v>88</v>
      </c>
      <c r="F40" s="26">
        <f>SUM(F38,F16)</f>
        <v>453.8799</v>
      </c>
    </row>
  </sheetData>
  <mergeCells count="3">
    <mergeCell ref="B2:F2"/>
    <mergeCell ref="B5:F5"/>
    <mergeCell ref="B18:F18"/>
  </mergeCells>
  <hyperlinks>
    <hyperlink ref="B6" r:id="rId1" display="JX CLS6336HV 35kg digital servo"/>
    <hyperlink ref="B11" r:id="rId2" display="half proto board+screw terminal"/>
    <hyperlink ref="B15" r:id="rId3" display="2S (7.4v) 6200mah lipo battery"/>
    <hyperlink ref="B7" r:id="rId4" display="Teensy 4.1"/>
    <hyperlink ref="B8" r:id="rId5" display="6 channel Polulu Maestro servo controller"/>
    <hyperlink ref="B10" r:id="rId6" display="3.3 to 5v logic level converter"/>
    <hyperlink ref="B22" r:id="rId7" display="m3 x 120mm pushrod connector"/>
    <hyperlink ref="B23" r:id="rId8" display="22mm long m3 tie rod"/>
    <hyperlink ref="B24" r:id="rId9" display="m3 x 6mm threaded inserts"/>
    <hyperlink ref="B27" r:id="rId10" display="m3 locknuts"/>
    <hyperlink ref="B14" r:id="rId11" display="XT60H connector pair"/>
    <hyperlink ref="B28" r:id="rId12" display="m3 x 5mm screws"/>
    <hyperlink ref="B30" r:id="rId13" display="m3 x 12mm screws"/>
    <hyperlink ref="B31" r:id="rId14" display="m3 x 14mm screws"/>
    <hyperlink ref="B37" r:id="rId15" display="#6 x 1-1/4 inch wood screws"/>
    <hyperlink ref="B21" r:id="rId16" display="25T servo disc"/>
    <hyperlink ref="B26" r:id="rId17" display="m3 x 5mm standoffs"/>
    <hyperlink ref="B9" r:id="rId18" display="Pixy2 Camera"/>
    <hyperlink ref="B25" r:id="rId19" display="m3 x 10mm standoffs"/>
    <hyperlink ref="B29" r:id="rId20" display="m3 x 10mm screws"/>
    <hyperlink ref="B32" r:id="rId21" display="m3 x 15mm screws"/>
    <hyperlink ref="B34" r:id="rId22" display="m3 x 22mm screws"/>
    <hyperlink ref="B35" r:id="rId23" display="m3 x 30mm screws"/>
    <hyperlink ref="B20" r:id="rId24" display="Platform"/>
    <hyperlink ref="B36" r:id="rId25" display="3/4 x 48 inch wooden dowel"/>
    <hyperlink ref="B12" r:id="rId26" display="SPST switch"/>
    <hyperlink ref="B13" r:id="rId27" display="18 AWG wire"/>
    <hyperlink ref="B33" r:id="rId28" display="m3 x 20mm button head screws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Bill of Materials</vt:lpstr>
      <vt:lpstr>Pre Bill of 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Aaed Musa</dc:creator>
  <cp:lastModifiedBy>Jon Urcelay</cp:lastModifiedBy>
  <dcterms:created xsi:type="dcterms:W3CDTF">2020-09-24T00:14:00Z</dcterms:created>
  <dcterms:modified xsi:type="dcterms:W3CDTF">2025-10-10T08:16:48Z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848F5776438A4F96AD460BF4D3F46D63_12</vt:lpwstr>
  </property>
  <property fmtid="{D5CDD505-2E9C-101B-9397-08002B2CF9AE}" pid="3" name="KSOProductBuildVer">
    <vt:lpwstr>1033-12.2.0.22549</vt:lpwstr>
  </property>
</Properties>
</file>